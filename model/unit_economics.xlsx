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Swiggy Q1 FY2027 shareholder letter (quarter ended 30 Jun 2026), page 10: food delivery GOV grew 17.4% YoY to INR 9,490 Cr.</t>
        </r>
      </text>
    </comment>
    <comment ref="B6" authorId="0">
      <text>
        <r>
          <rPr>
            <sz val="10"/>
            <rFont val="Arial"/>
            <family val="2"/>
          </rPr>
          <t xml:space="preserve">Swiggy Q1 FY2027 shareholder letter (quarter ended 30 Jun 2026), page 6, Food delivery table: Average MTU 19.2 million in Q1FY27.</t>
        </r>
      </text>
    </comment>
    <comment ref="B7" authorId="0">
      <text>
        <r>
          <rPr>
            <sz val="10"/>
            <rFont val="Arial"/>
            <family val="2"/>
          </rPr>
          <t xml:space="preserve">Swiggy Q1 FY2027 shareholder letter (quarter ended 30 Jun 2026), page 6, Food delivery table: Adjusted EBITDA INR 292 Cr in Q1FY27.</t>
        </r>
      </text>
    </comment>
    <comment ref="B8" authorId="0">
      <text>
        <r>
          <rPr>
            <sz val="10"/>
            <rFont val="Arial"/>
            <family val="2"/>
          </rPr>
          <t xml:space="preserve">Swiggy Q1 FY2027 shareholder letter (quarter ended 30 Jun 2026), page 10: steady-state guidance of 5% Adjusted EBITDA on GOV.</t>
        </r>
      </text>
    </comment>
    <comment ref="B19" authorId="0">
      <text>
        <r>
          <rPr>
            <sz val="10"/>
            <rFont val="Arial"/>
            <family val="2"/>
          </rPr>
          <t xml:space="preserve">Assumption. Mid-point of the ₹300-500 range used in the case study; Swiggy does not publish CAC.</t>
        </r>
      </text>
    </comment>
    <comment ref="B20" authorId="0">
      <text>
        <r>
          <rPr>
            <sz val="10"/>
            <rFont val="Arial"/>
            <family val="2"/>
          </rPr>
          <t xml:space="preserve">Assumption. Probability an active user stops ordering in a given month. Swiggy does not publish churn.</t>
        </r>
      </text>
    </comment>
    <comment ref="B21" authorId="0">
      <text>
        <r>
          <rPr>
            <sz val="10"/>
            <rFont val="Arial"/>
            <family val="2"/>
          </rPr>
          <t xml:space="preserve">Assumption: cost of capital used to discount future profit.</t>
        </r>
      </text>
    </comment>
    <comment ref="B22" authorId="0">
      <text>
        <r>
          <rPr>
            <sz val="10"/>
            <rFont val="Arial"/>
            <family val="2"/>
          </rPr>
          <t xml:space="preserve">Assumption: e.g. delivery-fee waivers and coins redeemed per member per month.</t>
        </r>
      </text>
    </comment>
  </commentList>
</comments>
</file>

<file path=xl/sharedStrings.xml><?xml version="1.0" encoding="utf-8"?>
<sst xmlns="http://schemas.openxmlformats.org/spreadsheetml/2006/main" count="62" uniqueCount="59">
  <si>
    <t xml:space="preserve">Swiggy food delivery: customer unit economics and loyalty-tier break-even</t>
  </si>
  <si>
    <t xml:space="preserve">Blue = sourced input · Blue on yellow = assumption to challenge · Black = formula. Change any blue cell; everything else recalculates.</t>
  </si>
  <si>
    <t xml:space="preserve">1. Sourced inputs (Swiggy Q1 FY2027 shareholder letter (quarter ended 30 Jun 2026))</t>
  </si>
  <si>
    <t xml:space="preserve">Food delivery GOV in the quarter (₹ crore)</t>
  </si>
  <si>
    <t xml:space="preserve">Food delivery average monthly transacting users (million)</t>
  </si>
  <si>
    <t xml:space="preserve">Food delivery Adjusted EBITDA in the quarter (₹ crore)</t>
  </si>
  <si>
    <t xml:space="preserve">Medium-term Adjusted EBITDA guidance (% of GOV)</t>
  </si>
  <si>
    <t xml:space="preserve">Months in the quarter</t>
  </si>
  <si>
    <t xml:space="preserve">2. Derived per-user economics</t>
  </si>
  <si>
    <t xml:space="preserve">GOV per active user per month (₹)</t>
  </si>
  <si>
    <t xml:space="preserve">Reported Adjusted EBITDA margin (% of GOV)</t>
  </si>
  <si>
    <t xml:space="preserve">Monthly profit per active user at reported margin (₹)</t>
  </si>
  <si>
    <t xml:space="preserve">Monthly profit per active user at guided margin (₹)</t>
  </si>
  <si>
    <t xml:space="preserve">Note: Adjusted EBITDA is after fixed costs, so it understates per-order contribution. Contribution margin is not stated in the letter's text; this model is deliberately conservative.</t>
  </si>
  <si>
    <t xml:space="preserve">3. Assumptions (not published; challenge these)</t>
  </si>
  <si>
    <t xml:space="preserve">Customer acquisition cost, CAC (₹ per new user)</t>
  </si>
  <si>
    <t xml:space="preserve">Monthly churn of an active user (base case)</t>
  </si>
  <si>
    <t xml:space="preserve">Annual discount rate</t>
  </si>
  <si>
    <t xml:space="preserve">Loyalty-tier benefit cost per member per month (₹)</t>
  </si>
  <si>
    <t xml:space="preserve">4. Base case: lifetime value vs acquisition cost</t>
  </si>
  <si>
    <t xml:space="preserve">Reported margin</t>
  </si>
  <si>
    <t xml:space="preserve">Guided margin</t>
  </si>
  <si>
    <t xml:space="preserve">Monthly discount rate</t>
  </si>
  <si>
    <t xml:space="preserve">Expected discounted lifetime (months)</t>
  </si>
  <si>
    <t xml:space="preserve">Lifetime value, LTV (₹)</t>
  </si>
  <si>
    <t xml:space="preserve">LTV / CAC</t>
  </si>
  <si>
    <t xml:space="preserve">Simple CAC payback (months of profit)</t>
  </si>
  <si>
    <t xml:space="preserve">Maximum affordable CAC at LTV/CAC = 3x (₹)</t>
  </si>
  <si>
    <t xml:space="preserve">LTV formula: monthly profit × Σ (retention / (1+discount))^t = monthly profit × (1+d)/(d+churn).</t>
  </si>
  <si>
    <t xml:space="preserve">5. Sensitivity: LTV / CAC at the reported margin (rows: monthly churn · columns: CAC ₹)</t>
  </si>
  <si>
    <t xml:space="preserve">Monthly churn ↓   CAC →</t>
  </si>
  <si>
    <t xml:space="preserve">6. Same grid at the guided 5% margin</t>
  </si>
  <si>
    <t xml:space="preserve">7. Loyalty tier: what must it achieve to pay for itself?</t>
  </si>
  <si>
    <t xml:space="preserve">Monthly profit per active user (₹)</t>
  </si>
  <si>
    <t xml:space="preserve">Benefit cost as % of monthly profit per user</t>
  </si>
  <si>
    <t xml:space="preserve">Route A: extra GOV per member per month needed (₹)</t>
  </si>
  <si>
    <t xml:space="preserve">Route A as % increase in spend per member</t>
  </si>
  <si>
    <t xml:space="preserve">Route B: maximum monthly churn with the tier (break-even)</t>
  </si>
  <si>
    <t xml:space="preserve">Route B: churn reduction needed (percentage points)</t>
  </si>
  <si>
    <t xml:space="preserve">Route A pays through extra spend alone; Route B pays through members staying longer. Route B assumes members keep the same spend and that the benefit cost applies to every member.</t>
  </si>
  <si>
    <t xml:space="preserve">8. Route B by benefit cost (reported margin): churn reduction needed, percentage points</t>
  </si>
  <si>
    <t xml:space="preserve">Benefit cost per member per month (₹) →</t>
  </si>
  <si>
    <t xml:space="preserve">Churn reduction needed (base churn in B20)</t>
  </si>
  <si>
    <t xml:space="preserve">Item</t>
  </si>
  <si>
    <t xml:space="preserve">Source / basis</t>
  </si>
  <si>
    <t xml:space="preserve">Food delivery GOV ₹9,490 Cr</t>
  </si>
  <si>
    <t xml:space="preserve">Swiggy Q1 FY2027 shareholder letter (quarter ended 30 Jun 2026), page 10 (Management Perspectives, Q1).</t>
  </si>
  <si>
    <t xml:space="preserve">Food delivery MTU 19.2 Mn</t>
  </si>
  <si>
    <t xml:space="preserve">Swiggy Q1 FY2027 shareholder letter (quarter ended 30 Jun 2026), page 6, Food delivery operating table.</t>
  </si>
  <si>
    <t xml:space="preserve">Food delivery Adj. EBITDA ₹292 Cr</t>
  </si>
  <si>
    <t xml:space="preserve">Swiggy Q1 FY2027 shareholder letter (quarter ended 30 Jun 2026), page 6, Food delivery table; 3.1% of GOV stated on page 2.</t>
  </si>
  <si>
    <t xml:space="preserve">5% Adj. EBITDA guidance</t>
  </si>
  <si>
    <t xml:space="preserve">Swiggy Q1 FY2027 shareholder letter (quarter ended 30 Jun 2026), page 10: steady-state guidance over the medium term.</t>
  </si>
  <si>
    <t xml:space="preserve">Letter URL</t>
  </si>
  <si>
    <t xml:space="preserve">https://www.swiggy.com/corporate/wp-content/uploads/2026/07/Q1-FY2027-Shareholder-letter.pdf</t>
  </si>
  <si>
    <t xml:space="preserve">CAC, churn, discount rate, benefit cost</t>
  </si>
  <si>
    <t xml:space="preserve">Assumptions. Not published by Swiggy. Shown in yellow; test them with the grids.</t>
  </si>
  <si>
    <t xml:space="preserve">Why EBITDA, not contribution</t>
  </si>
  <si>
    <t xml:space="preserve">Contribution margin is not stated in the letter's text. Using Adjusted EBITDA understates profit per user, so the model errs on the cautious side.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</si>
</sst>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"/>
    <numFmt numFmtId="167" formatCode="0.0%;\(0.0%\);\-"/>
    <numFmt numFmtId="168" formatCode="0"/>
    <numFmt numFmtId="169" formatCode="\₹#,##0.0;&quot;(₹&quot;#,##0.0\);\-"/>
    <numFmt numFmtId="170" formatCode="0.00%;\(0.00%\);\-"/>
    <numFmt numFmtId="171" formatCode="\₹#,##0;&quot;(₹&quot;#,##0\);\-"/>
    <numFmt numFmtId="172" formatCode="0.0&quot; mo&quot;;\(0.0&quot; mo)&quot;;\-"/>
    <numFmt numFmtId="173" formatCode="0.0\x;\(0.0&quot;x)&quot;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EEF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3</v>
      </c>
      <c r="B5" s="6" t="n">
        <v>9490</v>
      </c>
      <c r="C5" s="7"/>
      <c r="D5" s="7"/>
      <c r="E5" s="7"/>
      <c r="F5" s="7"/>
      <c r="G5" s="7"/>
    </row>
    <row r="6" customFormat="false" ht="15" hidden="false" customHeight="false" outlineLevel="0" collapsed="false">
      <c r="A6" s="5" t="s">
        <v>4</v>
      </c>
      <c r="B6" s="8" t="n">
        <v>19.2</v>
      </c>
      <c r="C6" s="7"/>
      <c r="D6" s="7"/>
      <c r="E6" s="7"/>
      <c r="F6" s="7"/>
      <c r="G6" s="7"/>
    </row>
    <row r="7" customFormat="false" ht="15" hidden="false" customHeight="false" outlineLevel="0" collapsed="false">
      <c r="A7" s="5" t="s">
        <v>5</v>
      </c>
      <c r="B7" s="6" t="n">
        <v>292</v>
      </c>
      <c r="C7" s="7"/>
      <c r="D7" s="7"/>
      <c r="E7" s="7"/>
      <c r="F7" s="7"/>
      <c r="G7" s="7"/>
    </row>
    <row r="8" customFormat="false" ht="15" hidden="false" customHeight="false" outlineLevel="0" collapsed="false">
      <c r="A8" s="5" t="s">
        <v>6</v>
      </c>
      <c r="B8" s="9" t="n">
        <v>0.05</v>
      </c>
      <c r="C8" s="7"/>
      <c r="D8" s="7"/>
      <c r="E8" s="7"/>
      <c r="F8" s="7"/>
      <c r="G8" s="7"/>
    </row>
    <row r="9" customFormat="false" ht="15" hidden="false" customHeight="false" outlineLevel="0" collapsed="false">
      <c r="A9" s="5" t="s">
        <v>7</v>
      </c>
      <c r="B9" s="10" t="n">
        <v>3</v>
      </c>
      <c r="C9" s="7"/>
      <c r="D9" s="7"/>
      <c r="E9" s="7"/>
      <c r="F9" s="7"/>
      <c r="G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3" t="s">
        <v>8</v>
      </c>
      <c r="B11" s="11"/>
      <c r="C11" s="11"/>
      <c r="D11" s="11"/>
      <c r="E11" s="11"/>
      <c r="F11" s="11"/>
      <c r="G11" s="11"/>
    </row>
    <row r="12" customFormat="false" ht="15" hidden="false" customHeight="false" outlineLevel="0" collapsed="false">
      <c r="A12" s="5" t="s">
        <v>9</v>
      </c>
      <c r="B12" s="12" t="n">
        <f aca="false">B5*10^7/(B9*B6*10^6)</f>
        <v>1647.56944444444</v>
      </c>
      <c r="C12" s="7"/>
      <c r="D12" s="7"/>
      <c r="E12" s="7"/>
      <c r="F12" s="7"/>
      <c r="G12" s="7"/>
    </row>
    <row r="13" customFormat="false" ht="15" hidden="false" customHeight="false" outlineLevel="0" collapsed="false">
      <c r="A13" s="5" t="s">
        <v>10</v>
      </c>
      <c r="B13" s="13" t="n">
        <f aca="false">B7/B5</f>
        <v>0.0307692307692308</v>
      </c>
      <c r="C13" s="7"/>
      <c r="D13" s="7"/>
      <c r="E13" s="7"/>
      <c r="F13" s="7"/>
      <c r="G13" s="7"/>
    </row>
    <row r="14" customFormat="false" ht="15" hidden="false" customHeight="false" outlineLevel="0" collapsed="false">
      <c r="A14" s="5" t="s">
        <v>11</v>
      </c>
      <c r="B14" s="12" t="n">
        <f aca="false">B12*B13</f>
        <v>50.6944444444445</v>
      </c>
      <c r="C14" s="7"/>
      <c r="D14" s="7"/>
      <c r="E14" s="7"/>
      <c r="F14" s="7"/>
      <c r="G14" s="7"/>
    </row>
    <row r="15" customFormat="false" ht="15" hidden="false" customHeight="false" outlineLevel="0" collapsed="false">
      <c r="A15" s="5" t="s">
        <v>12</v>
      </c>
      <c r="B15" s="12" t="n">
        <f aca="false">B12*B8</f>
        <v>82.3784722222222</v>
      </c>
      <c r="C15" s="7"/>
      <c r="D15" s="7"/>
      <c r="E15" s="7"/>
      <c r="F15" s="7"/>
      <c r="G15" s="7"/>
    </row>
    <row r="16" customFormat="false" ht="15" hidden="false" customHeight="false" outlineLevel="0" collapsed="false">
      <c r="A16" s="14" t="s">
        <v>13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3" t="s">
        <v>14</v>
      </c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5" t="s">
        <v>15</v>
      </c>
      <c r="B19" s="15" t="n">
        <v>400</v>
      </c>
      <c r="C19" s="7"/>
      <c r="D19" s="7"/>
      <c r="E19" s="7"/>
      <c r="F19" s="7"/>
      <c r="G19" s="7"/>
    </row>
    <row r="20" customFormat="false" ht="15" hidden="false" customHeight="false" outlineLevel="0" collapsed="false">
      <c r="A20" s="5" t="s">
        <v>16</v>
      </c>
      <c r="B20" s="16" t="n">
        <v>0.1</v>
      </c>
      <c r="C20" s="7"/>
      <c r="D20" s="7"/>
      <c r="E20" s="7"/>
      <c r="F20" s="7"/>
      <c r="G20" s="7"/>
    </row>
    <row r="21" customFormat="false" ht="15" hidden="false" customHeight="false" outlineLevel="0" collapsed="false">
      <c r="A21" s="5" t="s">
        <v>17</v>
      </c>
      <c r="B21" s="16" t="n">
        <v>0.12</v>
      </c>
      <c r="C21" s="7"/>
      <c r="D21" s="7"/>
      <c r="E21" s="7"/>
      <c r="F21" s="7"/>
      <c r="G21" s="7"/>
    </row>
    <row r="22" customFormat="false" ht="15" hidden="false" customHeight="false" outlineLevel="0" collapsed="false">
      <c r="A22" s="5" t="s">
        <v>18</v>
      </c>
      <c r="B22" s="15" t="n">
        <v>25</v>
      </c>
      <c r="C22" s="7"/>
      <c r="D22" s="7"/>
      <c r="E22" s="7"/>
      <c r="F22" s="7"/>
      <c r="G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3" t="s">
        <v>19</v>
      </c>
      <c r="B24" s="11"/>
      <c r="C24" s="11"/>
      <c r="D24" s="11"/>
      <c r="E24" s="11"/>
      <c r="F24" s="11"/>
      <c r="G24" s="11"/>
    </row>
    <row r="25" customFormat="false" ht="15" hidden="false" customHeight="false" outlineLevel="0" collapsed="false">
      <c r="A25" s="7"/>
      <c r="B25" s="17" t="s">
        <v>20</v>
      </c>
      <c r="C25" s="17" t="s">
        <v>21</v>
      </c>
      <c r="D25" s="7"/>
      <c r="E25" s="7"/>
      <c r="F25" s="7"/>
      <c r="G25" s="7"/>
    </row>
    <row r="26" customFormat="false" ht="15" hidden="false" customHeight="false" outlineLevel="0" collapsed="false">
      <c r="A26" s="5" t="s">
        <v>22</v>
      </c>
      <c r="B26" s="13" t="n">
        <f aca="false">(1+$B$21)^(1/12)-1</f>
        <v>0.00948879293458305</v>
      </c>
      <c r="C26" s="13" t="n">
        <f aca="false">(1+$B$21)^(1/12)-1</f>
        <v>0.00948879293458305</v>
      </c>
      <c r="D26" s="7"/>
      <c r="E26" s="7"/>
      <c r="F26" s="7"/>
      <c r="G26" s="7"/>
    </row>
    <row r="27" customFormat="false" ht="15" hidden="false" customHeight="false" outlineLevel="0" collapsed="false">
      <c r="A27" s="5" t="s">
        <v>23</v>
      </c>
      <c r="B27" s="18" t="n">
        <f aca="false">(1+B26)/(B26+$B$20)</f>
        <v>9.22001938168894</v>
      </c>
      <c r="C27" s="18" t="n">
        <f aca="false">(1+C26)/(C26+$B$20)</f>
        <v>9.22001938168894</v>
      </c>
      <c r="D27" s="7"/>
      <c r="E27" s="7"/>
      <c r="F27" s="7"/>
      <c r="G27" s="7"/>
    </row>
    <row r="28" customFormat="false" ht="15" hidden="false" customHeight="false" outlineLevel="0" collapsed="false">
      <c r="A28" s="5" t="s">
        <v>24</v>
      </c>
      <c r="B28" s="19" t="n">
        <f aca="false">$B$14*B27</f>
        <v>467.403760321731</v>
      </c>
      <c r="C28" s="19" t="n">
        <f aca="false">$B$15*C27</f>
        <v>759.531110522813</v>
      </c>
      <c r="D28" s="7"/>
      <c r="E28" s="7"/>
      <c r="F28" s="7"/>
      <c r="G28" s="7"/>
    </row>
    <row r="29" customFormat="false" ht="15" hidden="false" customHeight="false" outlineLevel="0" collapsed="false">
      <c r="A29" s="5" t="s">
        <v>25</v>
      </c>
      <c r="B29" s="20" t="n">
        <f aca="false">IFERROR(B28/$B$19,0)</f>
        <v>1.16850940080433</v>
      </c>
      <c r="C29" s="20" t="n">
        <f aca="false">IFERROR(C28/$B$19,0)</f>
        <v>1.89882777630703</v>
      </c>
      <c r="D29" s="7"/>
      <c r="E29" s="7"/>
      <c r="F29" s="7"/>
      <c r="G29" s="7"/>
    </row>
    <row r="30" customFormat="false" ht="15" hidden="false" customHeight="false" outlineLevel="0" collapsed="false">
      <c r="A30" s="5" t="s">
        <v>26</v>
      </c>
      <c r="B30" s="18" t="n">
        <f aca="false">IFERROR($B$19/$B$14,0)</f>
        <v>7.89041095890411</v>
      </c>
      <c r="C30" s="18" t="n">
        <f aca="false">IFERROR($B$19/$B$15,0)</f>
        <v>4.85563751317176</v>
      </c>
      <c r="D30" s="7"/>
      <c r="E30" s="7"/>
      <c r="F30" s="7"/>
      <c r="G30" s="7"/>
    </row>
    <row r="31" customFormat="false" ht="15" hidden="false" customHeight="false" outlineLevel="0" collapsed="false">
      <c r="A31" s="5" t="s">
        <v>27</v>
      </c>
      <c r="B31" s="19" t="n">
        <f aca="false">B28/3</f>
        <v>155.801253440577</v>
      </c>
      <c r="C31" s="19" t="n">
        <f aca="false">C28/3</f>
        <v>253.177036840938</v>
      </c>
      <c r="D31" s="7"/>
      <c r="E31" s="7"/>
      <c r="F31" s="7"/>
      <c r="G31" s="7"/>
    </row>
    <row r="32" customFormat="false" ht="15" hidden="false" customHeight="false" outlineLevel="0" collapsed="false">
      <c r="A32" s="14" t="s">
        <v>28</v>
      </c>
      <c r="B32" s="7"/>
      <c r="C32" s="7"/>
      <c r="D32" s="7"/>
      <c r="E32" s="7"/>
      <c r="F32" s="7"/>
      <c r="G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</row>
    <row r="34" customFormat="false" ht="15" hidden="false" customHeight="false" outlineLevel="0" collapsed="false">
      <c r="A34" s="3" t="s">
        <v>29</v>
      </c>
      <c r="B34" s="11"/>
      <c r="C34" s="11"/>
      <c r="D34" s="11"/>
      <c r="E34" s="11"/>
      <c r="F34" s="11"/>
      <c r="G34" s="11"/>
    </row>
    <row r="35" customFormat="false" ht="15" hidden="false" customHeight="false" outlineLevel="0" collapsed="false">
      <c r="A35" s="21" t="s">
        <v>30</v>
      </c>
      <c r="B35" s="22" t="n">
        <v>200</v>
      </c>
      <c r="C35" s="22" t="n">
        <v>300</v>
      </c>
      <c r="D35" s="22" t="n">
        <v>400</v>
      </c>
      <c r="E35" s="22" t="n">
        <v>500</v>
      </c>
      <c r="F35" s="22" t="n">
        <v>700</v>
      </c>
      <c r="G35" s="7"/>
    </row>
    <row r="36" customFormat="false" ht="15" hidden="false" customHeight="false" outlineLevel="0" collapsed="false">
      <c r="A36" s="23" t="n">
        <v>0.06</v>
      </c>
      <c r="B36" s="20" t="n">
        <f aca="false">$B$14*(1+$B$26)/($B$26+$A36)/B$35</f>
        <v>3.68228252136199</v>
      </c>
      <c r="C36" s="20" t="n">
        <f aca="false">$B$14*(1+$B$26)/($B$26+$A36)/C$35</f>
        <v>2.45485501424133</v>
      </c>
      <c r="D36" s="20" t="n">
        <f aca="false">$B$14*(1+$B$26)/($B$26+$A36)/D$35</f>
        <v>1.84114126068099</v>
      </c>
      <c r="E36" s="20" t="n">
        <f aca="false">$B$14*(1+$B$26)/($B$26+$A36)/E$35</f>
        <v>1.4729130085448</v>
      </c>
      <c r="F36" s="20" t="n">
        <f aca="false">$B$14*(1+$B$26)/($B$26+$A36)/F$35</f>
        <v>1.05208072038914</v>
      </c>
      <c r="G36" s="7"/>
    </row>
    <row r="37" customFormat="false" ht="15" hidden="false" customHeight="false" outlineLevel="0" collapsed="false">
      <c r="A37" s="23" t="n">
        <v>0.08</v>
      </c>
      <c r="B37" s="20" t="n">
        <f aca="false">$B$14*(1+$B$26)/($B$26+$A37)/B$35</f>
        <v>2.85932304216692</v>
      </c>
      <c r="C37" s="20" t="n">
        <f aca="false">$B$14*(1+$B$26)/($B$26+$A37)/C$35</f>
        <v>1.90621536144461</v>
      </c>
      <c r="D37" s="20" t="n">
        <f aca="false">$B$14*(1+$B$26)/($B$26+$A37)/D$35</f>
        <v>1.42966152108346</v>
      </c>
      <c r="E37" s="20" t="n">
        <f aca="false">$B$14*(1+$B$26)/($B$26+$A37)/E$35</f>
        <v>1.14372921686677</v>
      </c>
      <c r="F37" s="20" t="n">
        <f aca="false">$B$14*(1+$B$26)/($B$26+$A37)/F$35</f>
        <v>0.81694944061912</v>
      </c>
      <c r="G37" s="7"/>
    </row>
    <row r="38" customFormat="false" ht="15" hidden="false" customHeight="false" outlineLevel="0" collapsed="false">
      <c r="A38" s="23" t="n">
        <v>0.1</v>
      </c>
      <c r="B38" s="20" t="n">
        <f aca="false">$B$14*(1+$B$26)/($B$26+$A38)/B$35</f>
        <v>2.33701880160866</v>
      </c>
      <c r="C38" s="20" t="n">
        <f aca="false">$B$14*(1+$B$26)/($B$26+$A38)/C$35</f>
        <v>1.55801253440577</v>
      </c>
      <c r="D38" s="20" t="n">
        <f aca="false">$B$14*(1+$B$26)/($B$26+$A38)/D$35</f>
        <v>1.16850940080433</v>
      </c>
      <c r="E38" s="20" t="n">
        <f aca="false">$B$14*(1+$B$26)/($B$26+$A38)/E$35</f>
        <v>0.934807520643462</v>
      </c>
      <c r="F38" s="20" t="n">
        <f aca="false">$B$14*(1+$B$26)/($B$26+$A38)/F$35</f>
        <v>0.667719657602473</v>
      </c>
      <c r="G38" s="7"/>
    </row>
    <row r="39" customFormat="false" ht="15" hidden="false" customHeight="false" outlineLevel="0" collapsed="false">
      <c r="A39" s="23" t="n">
        <v>0.12</v>
      </c>
      <c r="B39" s="20" t="n">
        <f aca="false">$B$14*(1+$B$26)/($B$26+$A39)/B$35</f>
        <v>1.97605801903509</v>
      </c>
      <c r="C39" s="20" t="n">
        <f aca="false">$B$14*(1+$B$26)/($B$26+$A39)/C$35</f>
        <v>1.31737201269006</v>
      </c>
      <c r="D39" s="20" t="n">
        <f aca="false">$B$14*(1+$B$26)/($B$26+$A39)/D$35</f>
        <v>0.988029009517547</v>
      </c>
      <c r="E39" s="20" t="n">
        <f aca="false">$B$14*(1+$B$26)/($B$26+$A39)/E$35</f>
        <v>0.790423207614037</v>
      </c>
      <c r="F39" s="20" t="n">
        <f aca="false">$B$14*(1+$B$26)/($B$26+$A39)/F$35</f>
        <v>0.564588005438598</v>
      </c>
      <c r="G39" s="7"/>
    </row>
    <row r="40" customFormat="false" ht="15" hidden="false" customHeight="false" outlineLevel="0" collapsed="false">
      <c r="A40" s="23" t="n">
        <v>0.15</v>
      </c>
      <c r="B40" s="20" t="n">
        <f aca="false">$B$14*(1+$B$26)/($B$26+$A40)/B$35</f>
        <v>1.60435954743547</v>
      </c>
      <c r="C40" s="20" t="n">
        <f aca="false">$B$14*(1+$B$26)/($B$26+$A40)/C$35</f>
        <v>1.06957303162365</v>
      </c>
      <c r="D40" s="20" t="n">
        <f aca="false">$B$14*(1+$B$26)/($B$26+$A40)/D$35</f>
        <v>0.802179773717737</v>
      </c>
      <c r="E40" s="20" t="n">
        <f aca="false">$B$14*(1+$B$26)/($B$26+$A40)/E$35</f>
        <v>0.641743818974189</v>
      </c>
      <c r="F40" s="20" t="n">
        <f aca="false">$B$14*(1+$B$26)/($B$26+$A40)/F$35</f>
        <v>0.458388442124421</v>
      </c>
      <c r="G40" s="7"/>
    </row>
    <row r="41" customFormat="false" ht="15" hidden="false" customHeight="false" outlineLevel="0" collapsed="false">
      <c r="A41" s="23" t="n">
        <v>0.2</v>
      </c>
      <c r="B41" s="20" t="n">
        <f aca="false">$B$14*(1+$B$26)/($B$26+$A41)/B$35</f>
        <v>1.22143702328487</v>
      </c>
      <c r="C41" s="20" t="n">
        <f aca="false">$B$14*(1+$B$26)/($B$26+$A41)/C$35</f>
        <v>0.81429134885658</v>
      </c>
      <c r="D41" s="20" t="n">
        <f aca="false">$B$14*(1+$B$26)/($B$26+$A41)/D$35</f>
        <v>0.610718511642435</v>
      </c>
      <c r="E41" s="20" t="n">
        <f aca="false">$B$14*(1+$B$26)/($B$26+$A41)/E$35</f>
        <v>0.488574809313948</v>
      </c>
      <c r="F41" s="20" t="n">
        <f aca="false">$B$14*(1+$B$26)/($B$26+$A41)/F$35</f>
        <v>0.34898200665282</v>
      </c>
      <c r="G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</row>
    <row r="43" customFormat="false" ht="15" hidden="false" customHeight="false" outlineLevel="0" collapsed="false">
      <c r="A43" s="3" t="s">
        <v>31</v>
      </c>
      <c r="B43" s="11"/>
      <c r="C43" s="11"/>
      <c r="D43" s="11"/>
      <c r="E43" s="11"/>
      <c r="F43" s="11"/>
      <c r="G43" s="11"/>
    </row>
    <row r="44" customFormat="false" ht="15" hidden="false" customHeight="false" outlineLevel="0" collapsed="false">
      <c r="A44" s="21" t="s">
        <v>30</v>
      </c>
      <c r="B44" s="22" t="n">
        <v>200</v>
      </c>
      <c r="C44" s="22" t="n">
        <v>300</v>
      </c>
      <c r="D44" s="22" t="n">
        <v>400</v>
      </c>
      <c r="E44" s="22" t="n">
        <v>500</v>
      </c>
      <c r="F44" s="22" t="n">
        <v>700</v>
      </c>
      <c r="G44" s="7"/>
    </row>
    <row r="45" customFormat="false" ht="15" hidden="false" customHeight="false" outlineLevel="0" collapsed="false">
      <c r="A45" s="23" t="n">
        <v>0.06</v>
      </c>
      <c r="B45" s="20" t="n">
        <f aca="false">$B$15*(1+$C$26)/($C$26+$A45)/B$44</f>
        <v>5.98370909721323</v>
      </c>
      <c r="C45" s="20" t="n">
        <f aca="false">$B$15*(1+$C$26)/($C$26+$A45)/C$44</f>
        <v>3.98913939814215</v>
      </c>
      <c r="D45" s="20" t="n">
        <f aca="false">$B$15*(1+$C$26)/($C$26+$A45)/D$44</f>
        <v>2.99185454860662</v>
      </c>
      <c r="E45" s="20" t="n">
        <f aca="false">$B$15*(1+$C$26)/($C$26+$A45)/E$44</f>
        <v>2.39348363888529</v>
      </c>
      <c r="F45" s="20" t="n">
        <f aca="false">$B$15*(1+$C$26)/($C$26+$A45)/F$44</f>
        <v>1.70963117063235</v>
      </c>
      <c r="G45" s="7"/>
    </row>
    <row r="46" customFormat="false" ht="15" hidden="false" customHeight="false" outlineLevel="0" collapsed="false">
      <c r="A46" s="23" t="n">
        <v>0.08</v>
      </c>
      <c r="B46" s="20" t="n">
        <f aca="false">$B$15*(1+$C$26)/($C$26+$A46)/B$44</f>
        <v>4.64639994352124</v>
      </c>
      <c r="C46" s="20" t="n">
        <f aca="false">$B$15*(1+$C$26)/($C$26+$A46)/C$44</f>
        <v>3.0975999623475</v>
      </c>
      <c r="D46" s="20" t="n">
        <f aca="false">$B$15*(1+$C$26)/($C$26+$A46)/D$44</f>
        <v>2.32319997176062</v>
      </c>
      <c r="E46" s="20" t="n">
        <f aca="false">$B$15*(1+$C$26)/($C$26+$A46)/E$44</f>
        <v>1.8585599774085</v>
      </c>
      <c r="F46" s="20" t="n">
        <f aca="false">$B$15*(1+$C$26)/($C$26+$A46)/F$44</f>
        <v>1.32754284100607</v>
      </c>
      <c r="G46" s="7"/>
    </row>
    <row r="47" customFormat="false" ht="15" hidden="false" customHeight="false" outlineLevel="0" collapsed="false">
      <c r="A47" s="23" t="n">
        <v>0.1</v>
      </c>
      <c r="B47" s="20" t="n">
        <f aca="false">$B$15*(1+$C$26)/($C$26+$A47)/B$44</f>
        <v>3.79765555261407</v>
      </c>
      <c r="C47" s="20" t="n">
        <f aca="false">$B$15*(1+$C$26)/($C$26+$A47)/C$44</f>
        <v>2.53177036840938</v>
      </c>
      <c r="D47" s="20" t="n">
        <f aca="false">$B$15*(1+$C$26)/($C$26+$A47)/D$44</f>
        <v>1.89882777630703</v>
      </c>
      <c r="E47" s="20" t="n">
        <f aca="false">$B$15*(1+$C$26)/($C$26+$A47)/E$44</f>
        <v>1.51906222104563</v>
      </c>
      <c r="F47" s="20" t="n">
        <f aca="false">$B$15*(1+$C$26)/($C$26+$A47)/F$44</f>
        <v>1.08504444360402</v>
      </c>
      <c r="G47" s="7"/>
    </row>
    <row r="48" customFormat="false" ht="15" hidden="false" customHeight="false" outlineLevel="0" collapsed="false">
      <c r="A48" s="23" t="n">
        <v>0.12</v>
      </c>
      <c r="B48" s="20" t="n">
        <f aca="false">$B$15*(1+$C$26)/($C$26+$A48)/B$44</f>
        <v>3.21109428093203</v>
      </c>
      <c r="C48" s="20" t="n">
        <f aca="false">$B$15*(1+$C$26)/($C$26+$A48)/C$44</f>
        <v>2.14072952062135</v>
      </c>
      <c r="D48" s="20" t="n">
        <f aca="false">$B$15*(1+$C$26)/($C$26+$A48)/D$44</f>
        <v>1.60554714046601</v>
      </c>
      <c r="E48" s="20" t="n">
        <f aca="false">$B$15*(1+$C$26)/($C$26+$A48)/E$44</f>
        <v>1.28443771237281</v>
      </c>
      <c r="F48" s="20" t="n">
        <f aca="false">$B$15*(1+$C$26)/($C$26+$A48)/F$44</f>
        <v>0.917455508837722</v>
      </c>
      <c r="G48" s="7"/>
    </row>
    <row r="49" customFormat="false" ht="15" hidden="false" customHeight="false" outlineLevel="0" collapsed="false">
      <c r="A49" s="23" t="n">
        <v>0.15</v>
      </c>
      <c r="B49" s="20" t="n">
        <f aca="false">$B$15*(1+$C$26)/($C$26+$A49)/B$44</f>
        <v>2.60708426458264</v>
      </c>
      <c r="C49" s="20" t="n">
        <f aca="false">$B$15*(1+$C$26)/($C$26+$A49)/C$44</f>
        <v>1.73805617638843</v>
      </c>
      <c r="D49" s="20" t="n">
        <f aca="false">$B$15*(1+$C$26)/($C$26+$A49)/D$44</f>
        <v>1.30354213229132</v>
      </c>
      <c r="E49" s="20" t="n">
        <f aca="false">$B$15*(1+$C$26)/($C$26+$A49)/E$44</f>
        <v>1.04283370583306</v>
      </c>
      <c r="F49" s="20" t="n">
        <f aca="false">$B$15*(1+$C$26)/($C$26+$A49)/F$44</f>
        <v>0.744881218452184</v>
      </c>
      <c r="G49" s="7"/>
    </row>
    <row r="50" customFormat="false" ht="15" hidden="false" customHeight="false" outlineLevel="0" collapsed="false">
      <c r="A50" s="23" t="n">
        <v>0.2</v>
      </c>
      <c r="B50" s="20" t="n">
        <f aca="false">$B$15*(1+$C$26)/($C$26+$A50)/B$44</f>
        <v>1.98483516283791</v>
      </c>
      <c r="C50" s="20" t="n">
        <f aca="false">$B$15*(1+$C$26)/($C$26+$A50)/C$44</f>
        <v>1.32322344189194</v>
      </c>
      <c r="D50" s="20" t="n">
        <f aca="false">$B$15*(1+$C$26)/($C$26+$A50)/D$44</f>
        <v>0.992417581418956</v>
      </c>
      <c r="E50" s="20" t="n">
        <f aca="false">$B$15*(1+$C$26)/($C$26+$A50)/E$44</f>
        <v>0.793934065135165</v>
      </c>
      <c r="F50" s="20" t="n">
        <f aca="false">$B$15*(1+$C$26)/($C$26+$A50)/F$44</f>
        <v>0.567095760810832</v>
      </c>
      <c r="G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</row>
    <row r="52" customFormat="false" ht="15" hidden="false" customHeight="false" outlineLevel="0" collapsed="false">
      <c r="A52" s="3" t="s">
        <v>32</v>
      </c>
      <c r="B52" s="11"/>
      <c r="C52" s="11"/>
      <c r="D52" s="11"/>
      <c r="E52" s="11"/>
      <c r="F52" s="11"/>
      <c r="G52" s="11"/>
    </row>
    <row r="53" customFormat="false" ht="15" hidden="false" customHeight="false" outlineLevel="0" collapsed="false">
      <c r="A53" s="7"/>
      <c r="B53" s="17" t="s">
        <v>20</v>
      </c>
      <c r="C53" s="17" t="s">
        <v>21</v>
      </c>
      <c r="D53" s="7"/>
      <c r="E53" s="7"/>
      <c r="F53" s="7"/>
      <c r="G53" s="7"/>
    </row>
    <row r="54" customFormat="false" ht="15" hidden="false" customHeight="false" outlineLevel="0" collapsed="false">
      <c r="A54" s="5" t="s">
        <v>33</v>
      </c>
      <c r="B54" s="12" t="n">
        <f aca="false">B14</f>
        <v>50.6944444444445</v>
      </c>
      <c r="C54" s="12" t="n">
        <f aca="false">B15</f>
        <v>82.3784722222222</v>
      </c>
      <c r="D54" s="7"/>
      <c r="E54" s="7"/>
      <c r="F54" s="7"/>
      <c r="G54" s="7"/>
    </row>
    <row r="55" customFormat="false" ht="15" hidden="false" customHeight="false" outlineLevel="0" collapsed="false">
      <c r="A55" s="5" t="s">
        <v>34</v>
      </c>
      <c r="B55" s="24" t="n">
        <f aca="false">IFERROR($B$22/B54,0)</f>
        <v>0.493150684931507</v>
      </c>
      <c r="C55" s="24" t="n">
        <f aca="false">IFERROR($B$22/C54,0)</f>
        <v>0.303477344573235</v>
      </c>
      <c r="D55" s="7"/>
      <c r="E55" s="7"/>
      <c r="F55" s="7"/>
      <c r="G55" s="7"/>
    </row>
    <row r="56" customFormat="false" ht="15" hidden="false" customHeight="false" outlineLevel="0" collapsed="false">
      <c r="A56" s="5" t="s">
        <v>35</v>
      </c>
      <c r="B56" s="19" t="n">
        <f aca="false">$B$22/$B$13</f>
        <v>812.5</v>
      </c>
      <c r="C56" s="19" t="n">
        <f aca="false">$B$22/$B$8</f>
        <v>500</v>
      </c>
      <c r="D56" s="7"/>
      <c r="E56" s="7"/>
      <c r="F56" s="7"/>
      <c r="G56" s="7"/>
    </row>
    <row r="57" customFormat="false" ht="15" hidden="false" customHeight="false" outlineLevel="0" collapsed="false">
      <c r="A57" s="5" t="s">
        <v>36</v>
      </c>
      <c r="B57" s="24" t="n">
        <f aca="false">B56/$B$12</f>
        <v>0.493150684931507</v>
      </c>
      <c r="C57" s="24" t="n">
        <f aca="false">C56/$B$12</f>
        <v>0.303477344573235</v>
      </c>
      <c r="D57" s="7"/>
      <c r="E57" s="7"/>
      <c r="F57" s="7"/>
      <c r="G57" s="7"/>
    </row>
    <row r="58" customFormat="false" ht="15" hidden="false" customHeight="false" outlineLevel="0" collapsed="false">
      <c r="A58" s="5" t="s">
        <v>37</v>
      </c>
      <c r="B58" s="13" t="n">
        <f aca="false">IF(B54&lt;=$B$22,"Not possible",(B54-$B$22)*($B$26+$B$20)/B54-$B$26)</f>
        <v>0.0460055267719865</v>
      </c>
      <c r="C58" s="13" t="n">
        <f aca="false">IF(C54&lt;=$B$22,"Not possible",(C54-$B$22)*($C$26+$B$20)/C54-$C$26)</f>
        <v>0.066772631859684</v>
      </c>
      <c r="D58" s="7"/>
      <c r="E58" s="7"/>
      <c r="F58" s="7"/>
      <c r="G58" s="7"/>
    </row>
    <row r="59" customFormat="false" ht="15" hidden="false" customHeight="false" outlineLevel="0" collapsed="false">
      <c r="A59" s="5" t="s">
        <v>38</v>
      </c>
      <c r="B59" s="13" t="n">
        <f aca="false">IF(ISNUMBER(B58),$B$20-B58,"Not possible")</f>
        <v>0.0539944732280136</v>
      </c>
      <c r="C59" s="13" t="n">
        <f aca="false">IF(ISNUMBER(C58),$B$20-C58,"Not possible")</f>
        <v>0.033227368140316</v>
      </c>
      <c r="D59" s="7"/>
      <c r="E59" s="7"/>
      <c r="F59" s="7"/>
      <c r="G59" s="7"/>
    </row>
    <row r="60" customFormat="false" ht="15" hidden="false" customHeight="false" outlineLevel="0" collapsed="false">
      <c r="A60" s="14" t="s">
        <v>39</v>
      </c>
      <c r="B60" s="7"/>
      <c r="C60" s="7"/>
      <c r="D60" s="7"/>
      <c r="E60" s="7"/>
      <c r="F60" s="7"/>
      <c r="G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</row>
    <row r="62" customFormat="false" ht="15" hidden="false" customHeight="false" outlineLevel="0" collapsed="false">
      <c r="A62" s="3" t="s">
        <v>40</v>
      </c>
      <c r="B62" s="11"/>
      <c r="C62" s="11"/>
      <c r="D62" s="11"/>
      <c r="E62" s="11"/>
      <c r="F62" s="11"/>
      <c r="G62" s="11"/>
    </row>
    <row r="63" customFormat="false" ht="15" hidden="false" customHeight="false" outlineLevel="0" collapsed="false">
      <c r="A63" s="21" t="s">
        <v>41</v>
      </c>
      <c r="B63" s="22" t="n">
        <v>10</v>
      </c>
      <c r="C63" s="22" t="n">
        <v>15</v>
      </c>
      <c r="D63" s="22" t="n">
        <v>25</v>
      </c>
      <c r="E63" s="22" t="n">
        <v>35</v>
      </c>
      <c r="F63" s="22" t="n">
        <v>45</v>
      </c>
      <c r="G63" s="7"/>
    </row>
    <row r="64" customFormat="false" ht="15" hidden="false" customHeight="false" outlineLevel="0" collapsed="false">
      <c r="A64" s="5" t="s">
        <v>42</v>
      </c>
      <c r="B64" s="13" t="n">
        <f aca="false">IF($B$14&lt;=B63,"Not possible",$B$20-(($B$14-B63)*($B$26+$B$20)/$B$14-$B$26))</f>
        <v>0.0215977892912054</v>
      </c>
      <c r="C64" s="13" t="n">
        <f aca="false">IF($B$14&lt;=C63,"Not possible",$B$20-(($B$14-C63)*($B$26+$B$20)/$B$14-$B$26))</f>
        <v>0.0323966839368081</v>
      </c>
      <c r="D64" s="13" t="n">
        <f aca="false">IF($B$14&lt;=D63,"Not possible",$B$20-(($B$14-D63)*($B$26+$B$20)/$B$14-$B$26))</f>
        <v>0.0539944732280136</v>
      </c>
      <c r="E64" s="13" t="n">
        <f aca="false">IF($B$14&lt;=E63,"Not possible",$B$20-(($B$14-E63)*($B$26+$B$20)/$B$14-$B$26))</f>
        <v>0.075592262519219</v>
      </c>
      <c r="F64" s="13" t="n">
        <f aca="false">IF($B$14&lt;=F63,"Not possible",$B$20-(($B$14-F63)*($B$26+$B$20)/$B$14-$B$26))</f>
        <v>0.0971900518104244</v>
      </c>
      <c r="G6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25" t="s">
        <v>43</v>
      </c>
      <c r="B1" s="26" t="s">
        <v>44</v>
      </c>
    </row>
    <row r="2" customFormat="false" ht="15" hidden="false" customHeight="false" outlineLevel="0" collapsed="false">
      <c r="A2" s="5" t="s">
        <v>45</v>
      </c>
      <c r="B2" s="27" t="s">
        <v>46</v>
      </c>
    </row>
    <row r="3" customFormat="false" ht="15" hidden="false" customHeight="false" outlineLevel="0" collapsed="false">
      <c r="A3" s="5" t="s">
        <v>47</v>
      </c>
      <c r="B3" s="27" t="s">
        <v>48</v>
      </c>
    </row>
    <row r="4" customFormat="false" ht="26.85" hidden="false" customHeight="false" outlineLevel="0" collapsed="false">
      <c r="A4" s="5" t="s">
        <v>49</v>
      </c>
      <c r="B4" s="27" t="s">
        <v>50</v>
      </c>
    </row>
    <row r="5" customFormat="false" ht="26.85" hidden="false" customHeight="false" outlineLevel="0" collapsed="false">
      <c r="A5" s="5" t="s">
        <v>51</v>
      </c>
      <c r="B5" s="27" t="s">
        <v>52</v>
      </c>
    </row>
    <row r="6" customFormat="false" ht="15" hidden="false" customHeight="false" outlineLevel="0" collapsed="false">
      <c r="A6" s="5" t="s">
        <v>53</v>
      </c>
      <c r="B6" s="27" t="s">
        <v>54</v>
      </c>
    </row>
    <row r="7" customFormat="false" ht="15" hidden="false" customHeight="false" outlineLevel="0" collapsed="false">
      <c r="A7" s="5" t="s">
        <v>55</v>
      </c>
      <c r="B7" s="27" t="s">
        <v>56</v>
      </c>
    </row>
    <row r="8" customFormat="false" ht="26.85" hidden="false" customHeight="false" outlineLevel="0" collapsed="false">
      <c r="A8" s="5" t="s">
        <v>57</v>
      </c>
      <c r="B8" s="2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2026-10-07T14:02:50Z</dcterms:created>
  <dc:creator>openpyxl</dc:creator>
  <dc:description/>
  <dc:language>en-US</dc:language>
  <cp:lastModifiedBy/>
  <dcterms:modified xsi:type="dcterms:W3CDTF">2026-10-07T14:02:50Z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